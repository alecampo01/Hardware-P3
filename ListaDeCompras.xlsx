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36" windowWidth="15876" windowHeight="5856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69" i="1" l="1"/>
  <c r="E67" i="1"/>
  <c r="E66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4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67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E25" i="1"/>
  <c r="E26" i="1"/>
  <c r="E27" i="1"/>
  <c r="E28" i="1"/>
  <c r="E29" i="1"/>
  <c r="E30" i="1"/>
  <c r="E31" i="1"/>
  <c r="E32" i="1"/>
  <c r="E33" i="1"/>
  <c r="E34" i="1"/>
  <c r="E35" i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62" i="1" l="1"/>
  <c r="E19" i="1"/>
  <c r="E37" i="1"/>
  <c r="E71" i="1" l="1"/>
</calcChain>
</file>

<file path=xl/sharedStrings.xml><?xml version="1.0" encoding="utf-8"?>
<sst xmlns="http://schemas.openxmlformats.org/spreadsheetml/2006/main" count="129" uniqueCount="96">
  <si>
    <t>N°</t>
  </si>
  <si>
    <t>Componente</t>
  </si>
  <si>
    <t>Cantidad</t>
  </si>
  <si>
    <t>Link de Compra</t>
  </si>
  <si>
    <t>Precio C/U</t>
  </si>
  <si>
    <t>Total C/elemento</t>
  </si>
  <si>
    <t>https://www.mouser.com/ProductDetail/Texas-Instruments/DRV8825PWPR?qs=L4ss%2FyqpMWRQV%252B0JWK8r%2FQ%3D%3D</t>
  </si>
  <si>
    <t>DRV8825</t>
  </si>
  <si>
    <t>https://www.mouser.com/ProductDetail/Espressif-Systems/ESP32-S3-WROOM-1-N8R2?qs=Wj%2FVkw3K%252BMCC1Ha9x85iJA%3D%3D</t>
  </si>
  <si>
    <t>ESP32-S3-WROOM-1-N8R2</t>
  </si>
  <si>
    <t>Conector de Cable JST XH2.54 XH, Conector de Cable de 2,54mm, 2/3/4/5/6/7/8 Pines, enchufe macho y hembra, 10cm, 20cm de longitud, 26AWG, 5 Juegos - AliExpress</t>
  </si>
  <si>
    <t>L 4.7uH</t>
  </si>
  <si>
    <t>https://www.mouser.com/ProductDetail/Vishay-Dale/IHLP1616BZER4R7M11?qs=gMuw6kkpPFgfyxuC44lHBg%3D%3D</t>
  </si>
  <si>
    <t>https://es.aliexpress.com/item/4000867583795.html?spm=a2g0o.productlist.main.32.1276pPQapPQaui&amp;algo_pvid=dc9e8a46-7765-4d1a-8f14-6debd841fdb2&amp;algo_exp_id=dc9e8a46-7765-4d1a-8f14-6debd841fdb2-29&amp;pdp_ext_f=%7B%22order%22%3A%223376%22%2C%22eval%22%3A%221%22%2C%22fromPage%22%3A%22search%22%7D&amp;pdp_npi=6%40dis%21USD%214.37%214.37%21%21%214.37%214.37%21%40212a70c017746509071598145e3de4%2110000009746956243%21sea%21PY%210%21ABX%211%210%21n_tag%3A-29910%3Bd%3A78b3009%3Bm03_new_user%3A-29895&amp;curPageLogUid=YPG3fmZDelMp&amp;utparam-url=scene%3Asearch%7Cquery_from%3A%7Cx_object_id%3A4000867583795%7C_p_origin_prod%3A</t>
  </si>
  <si>
    <t>Conector USB tipo C puerto de carga hembra Jack 2/4/6/16 Pin tipo C enchufe PCB soldadura SMD SMT DIY reparación tipo C adaptador - AliExpress</t>
  </si>
  <si>
    <t>DRIVERS</t>
  </si>
  <si>
    <t>REGULADORES</t>
  </si>
  <si>
    <t>MICROCONTROLADOR</t>
  </si>
  <si>
    <t>Componentes</t>
  </si>
  <si>
    <t>https://es.aliexpress.com/item/1005007460897865.html</t>
  </si>
  <si>
    <t>(10/50/100 piezas) TS-1088-AR02016 SMD 4x3mm Botón pulsador redondo unipolar de 1.6N 4x3x2mm Interruptor táctil de montaje en superficie</t>
  </si>
  <si>
    <t>Conector de Cable JST XH2.54 XH 3Pines 5U</t>
  </si>
  <si>
    <t>Conector de Cable JST XH2.54 XH 4Pines 5U</t>
  </si>
  <si>
    <t>TS-1088-AR02016 SMD 10U</t>
  </si>
  <si>
    <t>USB-C 10U</t>
  </si>
  <si>
    <t>B330-13-F</t>
  </si>
  <si>
    <t>https://www.mouser.com/ProductDetail/Infineon-Technologies/IRLZ44NSTRLPBF?qs=9%252BKlkBgLFf1LijFJvUznEg%3D%3D</t>
  </si>
  <si>
    <t>IRLZ44NSTRLPBF</t>
  </si>
  <si>
    <t>https://www.mouser.com/ProductDetail/Diodes-Incorporated/B330-13-F?qs=5Tgt%2F%252B%252B8UCehJdUN1WXRnw%3D%3D</t>
  </si>
  <si>
    <t>https://www.mouser.com/ProductDetail/KEMET/C0805C104J5RAC3123?qs=gbgtKHXraGH3IyMRQDl%252BcQ%3D%3D</t>
  </si>
  <si>
    <t>Capacitor 1uF</t>
  </si>
  <si>
    <t>https://www.mouser.com/ProductDetail/KEMET/C0805C105M4REC7210?qs=sGAEpiMZZMsh%252B1woXyUXj6NiChfwzFayw%252BU09Gn9zd0%3D</t>
  </si>
  <si>
    <t>Resistor 100ohm</t>
  </si>
  <si>
    <t>https://www.mouser.com/ProductDetail/Bourns/CR0805-JW-101ELF?qs=wL7NMIHXUPl5EcPQbx1sug%3D%3D</t>
  </si>
  <si>
    <t>Resistor 10kohm</t>
  </si>
  <si>
    <t>https://www.mouser.com/ProductDetail/Bourns/CR0805-JW-103ELF?qs=3T0Ne7aOLxCPz7FUKqmeVw%3D%3D</t>
  </si>
  <si>
    <t>Resistor 220ohm</t>
  </si>
  <si>
    <t>https://www.mouser.com/ProductDetail/Panasonic/ERJ-6GEYJ221V?qs=mVvrpt%2FmFGaxvxGYT57NXw%3D%3D</t>
  </si>
  <si>
    <t>https://www.mouser.com/ProductDetail/Bourns/CR0805-FX-5101ELF?qs=sGAEpiMZZMtlubZbdhIBIL%252BKkaYz7rs3IM0DlBpoHQI%3D</t>
  </si>
  <si>
    <t>SS-01GL</t>
  </si>
  <si>
    <t>https://www.mouser.com/ProductDetail/Omron-Electronics/SS-01GL?qs=Pjd0UV7BHP91yVT1VU12sw%3D%3D</t>
  </si>
  <si>
    <t>https://www.mouser.com/ProductDetail/Texas-Instruments/LM1117MPX-3.3-NOPB?qs=X1J7HmVL2ZHRbBIxXi4utg%3D%3D</t>
  </si>
  <si>
    <t>LM1117MPX-3.3/NOPB</t>
  </si>
  <si>
    <t>Capacitor Electrolitico 100uF/35V</t>
  </si>
  <si>
    <t>https://es.aliexpress.com/item/1005006111249881.html?spm=a2g0o.productlist.main.40.42bbdkLzdkLz6K&amp;algo_pvid=608f7b4d-9f3b-45ac-a679-760ac0e3cc9c&amp;algo_exp_id=608f7b4d-9f3b-45ac-a679-760ac0e3cc9c-39&amp;pdp_ext_f=%7B%22order%22%3A%22435%22%2C%22eval%22%3A%221%22%2C%22fromPage%22%3A%22search%22%7D&amp;pdp_npi=6%40dis%21USD%2112.13%217.28%21%21%2112.13%217.28%21%402101590d17747416948624891e3df0%2112000035821130755%21sea%21PY%210%21ABX%211%210%21n_tag%3A-29910%3Bd%3A78b3009%3Bm03_new_user%3A-29895&amp;curPageLogUid=EycNEFFyzhpI&amp;utparam-url=scene%3Asearch%7Cquery_from%3A%7Cx_object_id%3A1005006111249881%7C_p_origin_prod%3A</t>
  </si>
  <si>
    <t>NEMA17 17HS4401 3U</t>
  </si>
  <si>
    <t>https://www.mouser.com/ProductDetail/KEMET/C0805C103F5GACAUTO?qs=sGAEpiMZZMukHu%252BjC5l7YQIh48tMJQEiwei2SNe%252Bt4M%3D</t>
  </si>
  <si>
    <t>Capacitor Electrolitico 0.01uF/50V</t>
  </si>
  <si>
    <t>Capacitor 22uF/25V</t>
  </si>
  <si>
    <t>https://www.mouser.com/ProductDetail/KEMET/C0805C474M3RECTU?qs=sGAEpiMZZMsh%252B1woXyUXj6NiChfwzFayxJr7%252BOmbRQg%3D</t>
  </si>
  <si>
    <t>Capacitor 0.47uF/25V</t>
  </si>
  <si>
    <t>Capacitor 0.1uF=100nF/50V</t>
  </si>
  <si>
    <t>Resistor 5.1kohm</t>
  </si>
  <si>
    <t>https://www.mouser.com/ProductDetail/Bourns/CR0805-FX-1004ELF?qs=tknLyCMIRbOGJekSMom0SQ%3D%3D</t>
  </si>
  <si>
    <t>Resistor 1Mohm</t>
  </si>
  <si>
    <t>https://www.mouser.com/ProductDetail/Bourns/CRL0805-JW-R200ELF?qs=OcJ73dDx4S2T7WJh28otdg%3D%3D</t>
  </si>
  <si>
    <t>Resistor 0.2ohm</t>
  </si>
  <si>
    <t>Resistor 50kohm</t>
  </si>
  <si>
    <t>Resistor 30kohm</t>
  </si>
  <si>
    <t>https://www.mouser.com/ProductDetail/Vishay-Draloric/TNPU080550K0AZEN00?qs=bAKSY%2FctAC6QhhNTu29n1w%3D%3D</t>
  </si>
  <si>
    <t>https://www.mouser.com/ProductDetail/Bourns/CR0805-FX-3002ELF?qs=sGAEpiMZZMtlubZbdhIBILNunjV7M8c61uJNQpZrk8I%3D</t>
  </si>
  <si>
    <t>https://www.mouser.com/ProductDetail/Bourns/CR0805-FX-1002ELF?qs=tknLyCMIRbPr%252BDD0s0nG9g%3D%3D</t>
  </si>
  <si>
    <t>https://www.mouser.com/ProductDetail/Samsung-Electro-Mechanics/CL21X226MAYNNWE?qs=sGAEpiMZZMukHu%252BjC5l7YQOF1IKz1I3Xzv7FaQEn%252Bxc%3D</t>
  </si>
  <si>
    <t>https://www.mouser.com/ProductDetail/KEMET/C0805C685K9PACTM?qs=sGAEpiMZZMsh%252B1woXyUXj0w%252BE0BIHBUSgtqdVCd%2FZy8%3D</t>
  </si>
  <si>
    <t>Capacitor 6.8uF/6.3V</t>
  </si>
  <si>
    <t>https://www.mouser.com/ProductDetail/KEMET/C0805C100K3RACTU?qs=sGAEpiMZZMukHu%252BjC5l7YUo%252BAyevRO7%252BfK%252B%252B8s4MIXA%3D</t>
  </si>
  <si>
    <t>Capacitor 10pF/35V</t>
  </si>
  <si>
    <t>https://www.mouser.com/ProductDetail/YAGEO/RT0805FRE07604KL?qs=sGAEpiMZZMtlubZbdhIBIK36V95%2FrXmtHdvvRvC8zUI%3D</t>
  </si>
  <si>
    <t>Resistor 604kohm</t>
  </si>
  <si>
    <t>https://www.mouser.com/ProductDetail/YAGEO/RC0805DR-0720RL?qs=9h0bZHM%2F3zKGUzWhuF%2FRhg%3D%3D</t>
  </si>
  <si>
    <t>Resistor 20ohm</t>
  </si>
  <si>
    <t>Resistor 15kohm</t>
  </si>
  <si>
    <t>https://www.mouser.com/ProductDetail/Bourns/CR0805-FX-1502ELF?qs=Hqdsf0hGw%2FCN5sNalLmn%252BA%3D%3D</t>
  </si>
  <si>
    <t>https://www.mouser.com/ProductDetail/YAGEO/RT0805FRE0740K2L?qs=sGAEpiMZZMtlubZbdhIBIK36V95%2FrXmtQMdtHYkev8c%3D</t>
  </si>
  <si>
    <t>Resistor 40.2kohm</t>
  </si>
  <si>
    <t>https://www.mouser.com/ProductDetail/YAGEO/RT0805DRE077K68L?qs=sGAEpiMZZMtlubZbdhIBIKm0gsRX2fVkGmK9ppNE60o%3D</t>
  </si>
  <si>
    <t>Resistor 7.68kohm</t>
  </si>
  <si>
    <t>https://www.mouser.com/ProductDetail/Monolithic-Power-Systems-MPS/MP2393GTL-Z?qs=YCa%2FAAYMW02wfKsqEy92eA%3D%3D</t>
  </si>
  <si>
    <t>MP2393GTL-Z</t>
  </si>
  <si>
    <t>https://www.mouser.com/ProductDetail/Diodes-Incorporated/DMP3130L-7?qs=oUsD4qhOtFzo1DjIYBcgCA%3D%3D</t>
  </si>
  <si>
    <t>DMP3130L-7</t>
  </si>
  <si>
    <t>https://www.mouser.com/ProductDetail/Diodes-Incorporated/BAT760-7?qs=JV7lzlMm3yKDDyO09xoRbQ%3D%3D</t>
  </si>
  <si>
    <t>BAT760-7</t>
  </si>
  <si>
    <t>TAU-0826B 20N</t>
  </si>
  <si>
    <t>https://www.mouser.com/ProductDetail/Wurth-Elektronik/865080545012?qs=sGAEpiMZZMsh%252B1woXyUXj4jKQI6sNRw62TrqU%252BXpeYs%3D</t>
  </si>
  <si>
    <t>https://www.mouser.com/ProductDetail/Vishay-Sprague/293D106X9010B2TE3?qs=sGAEpiMZZMsh%252B1woXyUXj9HZ6QjA3f9uImxzV5XJD%252BY%3D</t>
  </si>
  <si>
    <t>Tantalum Capacitor 10uF/10V </t>
  </si>
  <si>
    <t>Total</t>
  </si>
  <si>
    <t>https://konext.com.py/comprar/fuente-12v-6a/</t>
  </si>
  <si>
    <t>Fuente 12V/6A 72W</t>
  </si>
  <si>
    <t>Bornera 2.54mm 2pines 5U</t>
  </si>
  <si>
    <t>https://www.mouser.com/ProductDetail/LITEON/LTST-C193KRKT-2A?qs=gTYE2QTfZfR%2Fn%2F75wQdYig%3D%3D</t>
  </si>
  <si>
    <t>LTST-C193KRKT-2A</t>
  </si>
  <si>
    <t>COMPONENTES DONADOS</t>
  </si>
  <si>
    <t>Total Proyecto</t>
  </si>
  <si>
    <t>https://es.aliexpress.com/item/32618031228.html?spm=a2g0o.productlist.main.2.47d1mln5mln5lv&amp;algo_pvid=aaf98f6c-ef7a-4dfb-8837-6d57d388a6a4&amp;algo_exp_id=aaf98f6c-ef7a-4dfb-8837-6d57d388a6a4-1&amp;pdp_ext_f=%7B%22order%22%3A%221812%22%2C%22eval%22%3A%221%22%2C%22fromPage%22%3A%22search%22%7D&amp;pdp_npi=6%40dis%21USD%211.99%211.29%21%21%211.99%211.29%21%402101529317748185469996252eea15%2112000030225248944%21sea%21PY%210%21ABX%211%210%21n_tag%3A-29910%3Bd%3A78b3009%3Bm03_new_user%3A-29895&amp;curPageLogUid=pLduYfAZWpfP&amp;utparam-url=scene%3Asearch%7Cquery_from%3A%7Cx_object_id%3A32618031228%7C_p_origin_prod%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</si>
</sst>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4" fillId="4" borderId="0" applyNumberFormat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Font="1"/>
    <xf numFmtId="0" fontId="5" fillId="2" borderId="0" xfId="2"/>
    <xf numFmtId="0" fontId="6" fillId="3" borderId="0" xfId="3"/>
    <xf numFmtId="0" fontId="4" fillId="4" borderId="0" xfId="4"/>
  </cellXfs>
  <cellStyles count="5">
    <cellStyle name="40% - Énfasis1" xfId="4" builtinId="31"/>
    <cellStyle name="Buena" xfId="2" builtinId="26"/>
    <cellStyle name="Hipervínculo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com/ProductDetail/Bourns/CR0805-FX-5101ELF?qs=sGAEpiMZZMtlubZbdhIBIL%252BKkaYz7rs3IM0DlBpoHQI%3D" TargetMode="External"/><Relationship Id="rId18" Type="http://schemas.openxmlformats.org/officeDocument/2006/relationships/hyperlink" Target="https://www.mouser.com/ProductDetail/KEMET/C0805C474M3RECTU?qs=sGAEpiMZZMsh%252B1woXyUXj6NiChfwzFayxJr7%252BOmbRQg%3D" TargetMode="External"/><Relationship Id="rId26" Type="http://schemas.openxmlformats.org/officeDocument/2006/relationships/hyperlink" Target="https://www.mouser.com/ProductDetail/Samsung-Electro-Mechanics/CL21X226MAYNNWE?qs=sGAEpiMZZMukHu%252BjC5l7YQOF1IKz1I3Xzv7FaQEn%252Bxc%3D" TargetMode="External"/><Relationship Id="rId39" Type="http://schemas.openxmlformats.org/officeDocument/2006/relationships/hyperlink" Target="https://www.mouser.com/ProductDetail/Diodes-Incorporated/BAT760-7?qs=JV7lzlMm3yKDDyO09xoRbQ%3D%3D" TargetMode="External"/><Relationship Id="rId21" Type="http://schemas.openxmlformats.org/officeDocument/2006/relationships/hyperlink" Target="https://www.mouser.com/ProductDetail/Vishay-Draloric/TNPU080550K0AZEN00?qs=bAKSY%2FctAC6QhhNTu29n1w%3D%3D" TargetMode="External"/><Relationship Id="rId34" Type="http://schemas.openxmlformats.org/officeDocument/2006/relationships/hyperlink" Target="https://www.mouser.com/ProductDetail/YAGEO/RT0805FRE0740K2L?qs=sGAEpiMZZMtlubZbdhIBIK36V95%2FrXmtQMdtHYkev8c%3D" TargetMode="External"/><Relationship Id="rId42" Type="http://schemas.openxmlformats.org/officeDocument/2006/relationships/hyperlink" Target="https://konext.com.py/comprar/fuente-12v-6a/" TargetMode="External"/><Relationship Id="rId7" Type="http://schemas.openxmlformats.org/officeDocument/2006/relationships/hyperlink" Target="https://www.mouser.com/ProductDetail/Infineon-Technologies/IRLZ44NSTRLPBF?qs=9%252BKlkBgLFf1LijFJvUznEg%3D%3D" TargetMode="External"/><Relationship Id="rId2" Type="http://schemas.openxmlformats.org/officeDocument/2006/relationships/hyperlink" Target="https://es.aliexpress.com/item/1005007460897865.html?spm=a2g0o.productlist.main.4.3fa85507sRvbg8&amp;aem_p4p_detail=202603271521052464294803219820000572873&amp;algo_pvid=cdcd1a6d-f976-4060-b3bb-55710f6ac72b&amp;algo_exp_id=cdcd1a6d-f976-4060-b3bb-55710f6ac72b-3&amp;pdp_ext_f=%7B%22order%22%3A%2234760%22%2C%22spu_best_type%22%3A%22price%22%2C%22eval%22%3A%221%22%2C%22fromPage%22%3A%22search%22%7D&amp;pdp_npi=6%40dis%21USD%210.99%210.77%21%21%210.99%210.77%21%4021015b7d17746500655427707ebfba%2112000040853255020%21sea%21PY%210%21ABX%211%210%21n_tag%3A-29910%3Bd%3A78b3009%3Bm03_new_user%3A-29895&amp;curPageLogUid=QL9FQO7aCmdz&amp;utparam-url=scene%3Asearch%7Cquery_from%3A%7Cx_object_id%3A1005007460897865%7C_p_origin_prod%3A&amp;search_p4p_id=202603271521052464294803219820000572873_1" TargetMode="External"/><Relationship Id="rId16" Type="http://schemas.openxmlformats.org/officeDocument/2006/relationships/hyperlink" Target="https://www.mouser.com/ProductDetail/KEMET/C0805C103F5GACAUTO?qs=sGAEpiMZZMukHu%252BjC5l7YQIh48tMJQEiwei2SNe%252Bt4M%3D" TargetMode="External"/><Relationship Id="rId29" Type="http://schemas.openxmlformats.org/officeDocument/2006/relationships/hyperlink" Target="https://www.mouser.com/ProductDetail/KEMET/C0805C105M4REC7210?qs=sGAEpiMZZMsh%252B1woXyUXj6NiChfwzFayw%252BU09Gn9zd0%3D" TargetMode="External"/><Relationship Id="rId1" Type="http://schemas.openxmlformats.org/officeDocument/2006/relationships/hyperlink" Target="https://www.mouser.com/ProductDetail/Espressif-Systems/ESP32-S3-WROOM-1-N8R2?qs=Wj%2FVkw3K%252BMCC1Ha9x85iJA%3D%3D" TargetMode="External"/><Relationship Id="rId6" Type="http://schemas.openxmlformats.org/officeDocument/2006/relationships/hyperlink" Target="https://www.mouser.com/ProductDetail/Diodes-Incorporated/B330-13-F?qs=5Tgt%2F%252B%252B8UCehJdUN1WXRnw%3D%3D" TargetMode="External"/><Relationship Id="rId11" Type="http://schemas.openxmlformats.org/officeDocument/2006/relationships/hyperlink" Target="https://www.mouser.com/ProductDetail/Bourns/CR0805-JW-103ELF?qs=3T0Ne7aOLxCPz7FUKqmeVw%3D%3D" TargetMode="External"/><Relationship Id="rId24" Type="http://schemas.openxmlformats.org/officeDocument/2006/relationships/hyperlink" Target="https://www.mouser.com/ProductDetail/Vishay-Dale/IHLP1616BZER4R7M11?qs=gMuw6kkpPFgfyxuC44lHBg%3D%3D" TargetMode="External"/><Relationship Id="rId32" Type="http://schemas.openxmlformats.org/officeDocument/2006/relationships/hyperlink" Target="https://www.mouser.com/ProductDetail/YAGEO/RC0805DR-0720RL?qs=9h0bZHM%2F3zKGUzWhuF%2FRhg%3D%3D" TargetMode="External"/><Relationship Id="rId37" Type="http://schemas.openxmlformats.org/officeDocument/2006/relationships/hyperlink" Target="https://www.mouser.com/ProductDetail/Monolithic-Power-Systems-MPS/MP2393GTL-Z?qs=YCa%2FAAYMW02wfKsqEy92eA%3D%3D" TargetMode="External"/><Relationship Id="rId40" Type="http://schemas.openxmlformats.org/officeDocument/2006/relationships/hyperlink" Target="https://www.mouser.com/ProductDetail/Texas-Instruments/LM1117MPX-3.3-NOPB?qs=X1J7HmVL2ZHRbBIxXi4utg%3D%3D" TargetMode="External"/><Relationship Id="rId45" Type="http://schemas.openxmlformats.org/officeDocument/2006/relationships/hyperlink" Target="https://www.mouser.com/ProductDetail/Texas-Instruments/DRV8825PWPR?qs=L4ss%2FyqpMWRQV%252B0JWK8r%2FQ%3D%3D" TargetMode="External"/><Relationship Id="rId5" Type="http://schemas.openxmlformats.org/officeDocument/2006/relationships/hyperlink" Target="https://es.aliexpress.com/item/1005011943648412.html?spm=a2g0o.productlist.main.1.6c59fDMrfDMrTS&amp;algo_pvid=36fc4f25-e0e5-4119-a004-d99721300602&amp;algo_exp_id=36fc4f25-e0e5-4119-a004-d99721300602-0&amp;pdp_ext_f=%7B%22order%22%3A%22-1%22%2C%22eval%22%3A%221%22%2C%22fromPage%22%3A%22search%22%7D&amp;pdp_npi=6%40dis%21USD%211.86%210.93%21%21%2112.80%216.40%21%402102f0c917746869817147639eb613%2112000057086321431%21sea%21PY%210%21ABX%211%210%21n_tag%3A-29910%3Bd%3A78b3009%3Bm03_new_user%3A-29895&amp;curPageLogUid=kW8MJiTtlRvl&amp;utparam-url=scene%3Asearch%7Cquery_from%3A%7Cx_object_id%3A1005011943648412%7C_p_origin_prod%3A" TargetMode="External"/><Relationship Id="rId15" Type="http://schemas.openxmlformats.org/officeDocument/2006/relationships/hyperlink" Target="https://www.mouser.com/ProductDetail/Wurth-Elektronik/865080545012?qs=sGAEpiMZZMsh%252B1woXyUXj4jKQI6sNRw62TrqU%252BXpeYs%3D" TargetMode="External"/><Relationship Id="rId23" Type="http://schemas.openxmlformats.org/officeDocument/2006/relationships/hyperlink" Target="https://www.mouser.com/ProductDetail/Bourns/CR0805-FX-1002ELF?qs=tknLyCMIRbPr%252BDD0s0nG9g%3D%3D" TargetMode="External"/><Relationship Id="rId28" Type="http://schemas.openxmlformats.org/officeDocument/2006/relationships/hyperlink" Target="https://www.mouser.com/ProductDetail/KEMET/C0805C685K9PACTM?qs=sGAEpiMZZMsh%252B1woXyUXj0w%252BE0BIHBUSgtqdVCd%2FZy8%3D" TargetMode="External"/><Relationship Id="rId36" Type="http://schemas.openxmlformats.org/officeDocument/2006/relationships/hyperlink" Target="https://www.mouser.com/ProductDetail/Bourns/CR0805-FX-1002ELF?qs=tknLyCMIRbPr%252BDD0s0nG9g%3D%3D" TargetMode="External"/><Relationship Id="rId10" Type="http://schemas.openxmlformats.org/officeDocument/2006/relationships/hyperlink" Target="https://www.mouser.com/ProductDetail/Bourns/CR0805-JW-101ELF?qs=wL7NMIHXUPl5EcPQbx1sug%3D%3D" TargetMode="External"/><Relationship Id="rId19" Type="http://schemas.openxmlformats.org/officeDocument/2006/relationships/hyperlink" Target="https://www.mouser.com/ProductDetail/Bourns/CR0805-FX-1004ELF?qs=tknLyCMIRbOGJekSMom0SQ%3D%3D" TargetMode="External"/><Relationship Id="rId31" Type="http://schemas.openxmlformats.org/officeDocument/2006/relationships/hyperlink" Target="https://www.mouser.com/ProductDetail/YAGEO/RT0805FRE07604KL?qs=sGAEpiMZZMtlubZbdhIBIK36V95%2FrXmtHdvvRvC8zUI%3D" TargetMode="External"/><Relationship Id="rId44" Type="http://schemas.openxmlformats.org/officeDocument/2006/relationships/hyperlink" Target="https://www.mouser.com/ProductDetail/LITEON/LTST-C193KRKT-2A?qs=gTYE2QTfZfR%2Fn%2F75wQdYig%3D%3D" TargetMode="External"/><Relationship Id="rId4" Type="http://schemas.openxmlformats.org/officeDocument/2006/relationships/hyperlink" Target="https://es.aliexpress.com/item/1005007460897865.html" TargetMode="External"/><Relationship Id="rId9" Type="http://schemas.openxmlformats.org/officeDocument/2006/relationships/hyperlink" Target="https://www.mouser.com/ProductDetail/KEMET/C0805C105M4REC7210?qs=sGAEpiMZZMsh%252B1woXyUXj6NiChfwzFayw%252BU09Gn9zd0%3D" TargetMode="External"/><Relationship Id="rId14" Type="http://schemas.openxmlformats.org/officeDocument/2006/relationships/hyperlink" Target="https://www.mouser.com/ProductDetail/Omron-Electronics/SS-01GL?qs=Pjd0UV7BHP91yVT1VU12sw%3D%3D" TargetMode="External"/><Relationship Id="rId22" Type="http://schemas.openxmlformats.org/officeDocument/2006/relationships/hyperlink" Target="https://www.mouser.com/ProductDetail/Bourns/CR0805-FX-3002ELF?qs=sGAEpiMZZMtlubZbdhIBILNunjV7M8c61uJNQpZrk8I%3D" TargetMode="External"/><Relationship Id="rId27" Type="http://schemas.openxmlformats.org/officeDocument/2006/relationships/hyperlink" Target="https://www.mouser.com/ProductDetail/Samsung-Electro-Mechanics/CL21X226MAYNNWE?qs=sGAEpiMZZMukHu%252BjC5l7YQOF1IKz1I3Xzv7FaQEn%252Bxc%3D" TargetMode="External"/><Relationship Id="rId30" Type="http://schemas.openxmlformats.org/officeDocument/2006/relationships/hyperlink" Target="https://www.mouser.com/ProductDetail/KEMET/C0805C100K3RACTU?qs=sGAEpiMZZMukHu%252BjC5l7YUo%252BAyevRO7%252BfK%252B%252B8s4MIXA%3D" TargetMode="External"/><Relationship Id="rId35" Type="http://schemas.openxmlformats.org/officeDocument/2006/relationships/hyperlink" Target="https://www.mouser.com/ProductDetail/YAGEO/RT0805DRE077K68L?qs=sGAEpiMZZMtlubZbdhIBIKm0gsRX2fVkGmK9ppNE60o%3D" TargetMode="External"/><Relationship Id="rId43" Type="http://schemas.openxmlformats.org/officeDocument/2006/relationships/hyperlink" Target="https://www.mouser.com/ProductDetail/Bourns/CR0805-JW-101ELF?qs=wL7NMIHXUPl5EcPQbx1sug%3D%3D" TargetMode="External"/><Relationship Id="rId8" Type="http://schemas.openxmlformats.org/officeDocument/2006/relationships/hyperlink" Target="https://www.mouser.com/ProductDetail/KEMET/C0805C104J5RAC3123?qs=gbgtKHXraGH3IyMRQDl%252BcQ%3D%3D" TargetMode="External"/><Relationship Id="rId3" Type="http://schemas.openxmlformats.org/officeDocument/2006/relationships/hyperlink" Target="https://es.aliexpress.com/item/1005009438498535.html?spm=a2g0o.productlist.main.1.284b582f582fm1&amp;algo_pvid=ac212364-9bf5-46fa-9bd2-1233278e7c36&amp;algo_exp_id=ac212364-9bf5-46fa-9bd2-1233278e7c36-0&amp;pdp_ext_f=%7B%22order%22%3A%221019%22%2C%22spu_best_type%22%3A%22price%22%2C%22eval%22%3A%221%22%2C%22fromPage%22%3A%22search%22%7D&amp;pdp_npi=6%40dis%21USD%211.02%210.99%21%21%217.00%216.79%21%40212a70c017746836407734439e3e1d%2112000049098613157%21sea%21PY%210%21ABX%211%210%21n_tag%3A-29910%3Bd%3A78b3009%3Bm03_new_user%3A-29895&amp;curPageLogUid=GkJJS2D465Ko&amp;utparam-url=scene%3Asearch%7Cquery_from%3A%7Cx_object_id%3A1005009438498535%7C_p_origin_prod%3A" TargetMode="External"/><Relationship Id="rId12" Type="http://schemas.openxmlformats.org/officeDocument/2006/relationships/hyperlink" Target="https://www.mouser.com/ProductDetail/Panasonic/ERJ-6GEYJ221V?qs=mVvrpt%2FmFGaxvxGYT57NXw%3D%3D" TargetMode="External"/><Relationship Id="rId17" Type="http://schemas.openxmlformats.org/officeDocument/2006/relationships/hyperlink" Target="https://www.mouser.com/ProductDetail/KEMET/C0805C104J5RAC3123?qs=gbgtKHXraGH3IyMRQDl%252BcQ%3D%3D" TargetMode="External"/><Relationship Id="rId25" Type="http://schemas.openxmlformats.org/officeDocument/2006/relationships/hyperlink" Target="https://www.mouser.com/ProductDetail/KEMET/C0805C104J5RAC3123?qs=gbgtKHXraGH3IyMRQDl%252BcQ%3D%3D" TargetMode="External"/><Relationship Id="rId33" Type="http://schemas.openxmlformats.org/officeDocument/2006/relationships/hyperlink" Target="https://www.mouser.com/ProductDetail/Bourns/CR0805-FX-1502ELF?qs=Hqdsf0hGw%2FCN5sNalLmn%252BA%3D%3D" TargetMode="External"/><Relationship Id="rId38" Type="http://schemas.openxmlformats.org/officeDocument/2006/relationships/hyperlink" Target="https://www.mouser.com/ProductDetail/Diodes-Incorporated/DMP3130L-7?qs=oUsD4qhOtFzo1DjIYBcgCA%3D%3D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mouser.com/ProductDetail/Bourns/CRL0805-JW-R200ELF?qs=OcJ73dDx4S2T7WJh28otdg%3D%3D" TargetMode="External"/><Relationship Id="rId41" Type="http://schemas.openxmlformats.org/officeDocument/2006/relationships/hyperlink" Target="https://www.mouser.com/ProductDetail/Vishay-Sprague/293D106X9010B2TE3?qs=sGAEpiMZZMsh%252B1woXyUXj9HZ6QjA3f9uImxzV5XJD%252BY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F21" sqref="F21"/>
    </sheetView>
  </sheetViews>
  <sheetFormatPr baseColWidth="10" defaultRowHeight="14.4" x14ac:dyDescent="0.3"/>
  <cols>
    <col min="1" max="1" width="3" bestFit="1" customWidth="1"/>
    <col min="2" max="2" width="36.88671875" bestFit="1" customWidth="1"/>
    <col min="3" max="3" width="8.21875" bestFit="1" customWidth="1"/>
    <col min="4" max="4" width="13" bestFit="1" customWidth="1"/>
    <col min="5" max="5" width="15.33203125" bestFit="1" customWidth="1"/>
    <col min="6" max="6" width="139.21875" bestFit="1" customWidth="1"/>
  </cols>
  <sheetData>
    <row r="1" spans="1:6" x14ac:dyDescent="0.3">
      <c r="B1" s="6" t="s">
        <v>17</v>
      </c>
    </row>
    <row r="2" spans="1:6" x14ac:dyDescent="0.3">
      <c r="A2" s="7" t="s">
        <v>0</v>
      </c>
      <c r="B2" s="7" t="s">
        <v>1</v>
      </c>
      <c r="C2" s="7" t="s">
        <v>2</v>
      </c>
      <c r="D2" s="7" t="s">
        <v>4</v>
      </c>
      <c r="E2" s="7" t="s">
        <v>5</v>
      </c>
      <c r="F2" s="7" t="s">
        <v>3</v>
      </c>
    </row>
    <row r="3" spans="1:6" x14ac:dyDescent="0.3">
      <c r="A3">
        <v>1</v>
      </c>
      <c r="B3" t="s">
        <v>9</v>
      </c>
      <c r="C3">
        <v>2</v>
      </c>
      <c r="D3">
        <v>5.71</v>
      </c>
      <c r="E3">
        <f>C3*D3</f>
        <v>11.42</v>
      </c>
      <c r="F3" s="1" t="s">
        <v>8</v>
      </c>
    </row>
    <row r="4" spans="1:6" x14ac:dyDescent="0.3">
      <c r="A4">
        <f>A3+1</f>
        <v>2</v>
      </c>
      <c r="B4" t="s">
        <v>21</v>
      </c>
      <c r="C4">
        <v>1</v>
      </c>
      <c r="D4">
        <v>0.83</v>
      </c>
      <c r="E4">
        <f t="shared" ref="E4:E17" si="0">C4*D4</f>
        <v>0.83</v>
      </c>
      <c r="F4" s="1" t="s">
        <v>10</v>
      </c>
    </row>
    <row r="5" spans="1:6" x14ac:dyDescent="0.3">
      <c r="A5">
        <f t="shared" ref="A5:A16" si="1">A4+1</f>
        <v>3</v>
      </c>
      <c r="B5" t="s">
        <v>24</v>
      </c>
      <c r="C5">
        <v>1</v>
      </c>
      <c r="D5">
        <v>1.1299999999999999</v>
      </c>
      <c r="E5">
        <f t="shared" si="0"/>
        <v>1.1299999999999999</v>
      </c>
      <c r="F5" s="1" t="s">
        <v>14</v>
      </c>
    </row>
    <row r="6" spans="1:6" x14ac:dyDescent="0.3">
      <c r="A6">
        <f t="shared" si="1"/>
        <v>4</v>
      </c>
      <c r="B6" t="s">
        <v>23</v>
      </c>
      <c r="C6">
        <v>1</v>
      </c>
      <c r="D6">
        <v>0.93</v>
      </c>
      <c r="E6">
        <f t="shared" si="0"/>
        <v>0.93</v>
      </c>
      <c r="F6" s="1" t="s">
        <v>20</v>
      </c>
    </row>
    <row r="7" spans="1:6" x14ac:dyDescent="0.3">
      <c r="A7">
        <f t="shared" si="1"/>
        <v>5</v>
      </c>
      <c r="B7" t="s">
        <v>25</v>
      </c>
      <c r="C7">
        <v>1</v>
      </c>
      <c r="D7" s="2">
        <v>0.63</v>
      </c>
      <c r="E7">
        <f t="shared" si="0"/>
        <v>0.63</v>
      </c>
      <c r="F7" s="1" t="s">
        <v>28</v>
      </c>
    </row>
    <row r="8" spans="1:6" x14ac:dyDescent="0.3">
      <c r="A8">
        <f t="shared" si="1"/>
        <v>6</v>
      </c>
      <c r="B8" t="s">
        <v>27</v>
      </c>
      <c r="C8">
        <v>1</v>
      </c>
      <c r="D8" s="2">
        <v>1.85</v>
      </c>
      <c r="E8">
        <f t="shared" si="0"/>
        <v>1.85</v>
      </c>
      <c r="F8" s="1" t="s">
        <v>26</v>
      </c>
    </row>
    <row r="9" spans="1:6" x14ac:dyDescent="0.3">
      <c r="A9">
        <f t="shared" si="1"/>
        <v>7</v>
      </c>
      <c r="B9" t="s">
        <v>83</v>
      </c>
      <c r="C9">
        <v>1</v>
      </c>
      <c r="D9" s="2">
        <v>1.29</v>
      </c>
      <c r="E9">
        <f t="shared" si="0"/>
        <v>1.29</v>
      </c>
      <c r="F9" s="1" t="s">
        <v>95</v>
      </c>
    </row>
    <row r="10" spans="1:6" x14ac:dyDescent="0.3">
      <c r="A10">
        <f t="shared" si="1"/>
        <v>8</v>
      </c>
      <c r="B10" t="s">
        <v>48</v>
      </c>
      <c r="C10">
        <v>2</v>
      </c>
      <c r="D10">
        <v>0.54</v>
      </c>
      <c r="E10">
        <f t="shared" si="0"/>
        <v>1.08</v>
      </c>
      <c r="F10" s="1" t="s">
        <v>62</v>
      </c>
    </row>
    <row r="11" spans="1:6" x14ac:dyDescent="0.3">
      <c r="A11">
        <f t="shared" si="1"/>
        <v>9</v>
      </c>
      <c r="B11" t="s">
        <v>51</v>
      </c>
      <c r="C11">
        <v>4</v>
      </c>
      <c r="D11">
        <v>0.14000000000000001</v>
      </c>
      <c r="E11">
        <f t="shared" si="0"/>
        <v>0.56000000000000005</v>
      </c>
      <c r="F11" s="1" t="s">
        <v>29</v>
      </c>
    </row>
    <row r="12" spans="1:6" x14ac:dyDescent="0.3">
      <c r="A12">
        <f t="shared" si="1"/>
        <v>10</v>
      </c>
      <c r="B12" t="s">
        <v>30</v>
      </c>
      <c r="C12">
        <v>2</v>
      </c>
      <c r="D12">
        <v>0.26</v>
      </c>
      <c r="E12">
        <f t="shared" si="0"/>
        <v>0.52</v>
      </c>
      <c r="F12" s="1" t="s">
        <v>31</v>
      </c>
    </row>
    <row r="13" spans="1:6" x14ac:dyDescent="0.3">
      <c r="A13">
        <f t="shared" si="1"/>
        <v>11</v>
      </c>
      <c r="B13" t="s">
        <v>32</v>
      </c>
      <c r="C13">
        <v>2</v>
      </c>
      <c r="D13">
        <v>0.1</v>
      </c>
      <c r="E13">
        <f t="shared" si="0"/>
        <v>0.2</v>
      </c>
      <c r="F13" s="1" t="s">
        <v>33</v>
      </c>
    </row>
    <row r="14" spans="1:6" x14ac:dyDescent="0.3">
      <c r="A14">
        <f t="shared" si="1"/>
        <v>12</v>
      </c>
      <c r="B14" t="s">
        <v>34</v>
      </c>
      <c r="C14">
        <v>2</v>
      </c>
      <c r="D14">
        <v>0.1</v>
      </c>
      <c r="E14">
        <f t="shared" si="0"/>
        <v>0.2</v>
      </c>
      <c r="F14" s="1" t="s">
        <v>35</v>
      </c>
    </row>
    <row r="15" spans="1:6" x14ac:dyDescent="0.3">
      <c r="A15">
        <f t="shared" si="1"/>
        <v>13</v>
      </c>
      <c r="B15" t="s">
        <v>36</v>
      </c>
      <c r="C15">
        <v>2</v>
      </c>
      <c r="D15">
        <v>0.1</v>
      </c>
      <c r="E15">
        <f t="shared" si="0"/>
        <v>0.2</v>
      </c>
      <c r="F15" s="1" t="s">
        <v>37</v>
      </c>
    </row>
    <row r="16" spans="1:6" x14ac:dyDescent="0.3">
      <c r="A16">
        <f t="shared" si="1"/>
        <v>14</v>
      </c>
      <c r="B16" t="s">
        <v>52</v>
      </c>
      <c r="C16">
        <v>4</v>
      </c>
      <c r="D16">
        <v>0.1</v>
      </c>
      <c r="E16">
        <f t="shared" si="0"/>
        <v>0.4</v>
      </c>
      <c r="F16" s="1" t="s">
        <v>38</v>
      </c>
    </row>
    <row r="17" spans="1:7" x14ac:dyDescent="0.3">
      <c r="A17">
        <f>A16+1</f>
        <v>15</v>
      </c>
      <c r="B17" t="s">
        <v>39</v>
      </c>
      <c r="C17">
        <v>2</v>
      </c>
      <c r="D17">
        <v>3.4</v>
      </c>
      <c r="E17">
        <f t="shared" si="0"/>
        <v>6.8</v>
      </c>
      <c r="F17" s="1" t="s">
        <v>40</v>
      </c>
    </row>
    <row r="18" spans="1:7" x14ac:dyDescent="0.3">
      <c r="F18" s="4"/>
    </row>
    <row r="19" spans="1:7" x14ac:dyDescent="0.3">
      <c r="D19" s="5" t="s">
        <v>87</v>
      </c>
      <c r="E19" s="5">
        <f>SUM(E3:E17)</f>
        <v>28.039999999999992</v>
      </c>
    </row>
    <row r="22" spans="1:7" x14ac:dyDescent="0.3">
      <c r="B22" s="6" t="s">
        <v>15</v>
      </c>
      <c r="E22" s="2"/>
      <c r="G22" s="1"/>
    </row>
    <row r="23" spans="1:7" x14ac:dyDescent="0.3">
      <c r="A23" s="7" t="s">
        <v>0</v>
      </c>
      <c r="B23" s="7" t="s">
        <v>18</v>
      </c>
      <c r="C23" s="7" t="s">
        <v>2</v>
      </c>
      <c r="D23" s="7" t="s">
        <v>4</v>
      </c>
      <c r="E23" s="7" t="s">
        <v>5</v>
      </c>
      <c r="F23" s="7" t="s">
        <v>3</v>
      </c>
    </row>
    <row r="24" spans="1:7" x14ac:dyDescent="0.3">
      <c r="A24">
        <v>1</v>
      </c>
      <c r="B24" t="s">
        <v>7</v>
      </c>
      <c r="C24">
        <v>3</v>
      </c>
      <c r="D24" s="2">
        <v>4.99</v>
      </c>
      <c r="E24">
        <f>C24*D24</f>
        <v>14.97</v>
      </c>
      <c r="F24" s="1" t="s">
        <v>6</v>
      </c>
    </row>
    <row r="25" spans="1:7" x14ac:dyDescent="0.3">
      <c r="A25">
        <f>A24+1</f>
        <v>2</v>
      </c>
      <c r="B25" s="3" t="s">
        <v>22</v>
      </c>
      <c r="C25">
        <v>1</v>
      </c>
      <c r="D25">
        <v>0.9</v>
      </c>
      <c r="E25">
        <f t="shared" ref="E25:E35" si="2">C25*D25</f>
        <v>0.9</v>
      </c>
      <c r="F25" s="1" t="s">
        <v>19</v>
      </c>
    </row>
    <row r="26" spans="1:7" x14ac:dyDescent="0.3">
      <c r="A26">
        <f t="shared" ref="A26:A35" si="3">A25+1</f>
        <v>3</v>
      </c>
      <c r="B26" s="3" t="s">
        <v>45</v>
      </c>
      <c r="C26">
        <v>1</v>
      </c>
      <c r="D26">
        <v>21.58</v>
      </c>
      <c r="E26">
        <f t="shared" si="2"/>
        <v>21.58</v>
      </c>
      <c r="F26" s="1" t="s">
        <v>44</v>
      </c>
    </row>
    <row r="27" spans="1:7" x14ac:dyDescent="0.3">
      <c r="A27">
        <f t="shared" si="3"/>
        <v>4</v>
      </c>
      <c r="B27" t="s">
        <v>43</v>
      </c>
      <c r="C27">
        <v>3</v>
      </c>
      <c r="D27">
        <v>0.35</v>
      </c>
      <c r="E27">
        <f t="shared" si="2"/>
        <v>1.0499999999999998</v>
      </c>
      <c r="F27" s="1" t="s">
        <v>84</v>
      </c>
    </row>
    <row r="28" spans="1:7" x14ac:dyDescent="0.3">
      <c r="A28">
        <f t="shared" si="3"/>
        <v>5</v>
      </c>
      <c r="B28" t="s">
        <v>47</v>
      </c>
      <c r="C28">
        <v>3</v>
      </c>
      <c r="D28">
        <v>2.54</v>
      </c>
      <c r="E28">
        <f t="shared" si="2"/>
        <v>7.62</v>
      </c>
      <c r="F28" s="1" t="s">
        <v>46</v>
      </c>
    </row>
    <row r="29" spans="1:7" x14ac:dyDescent="0.3">
      <c r="A29">
        <f t="shared" si="3"/>
        <v>6</v>
      </c>
      <c r="B29" t="s">
        <v>51</v>
      </c>
      <c r="C29">
        <v>6</v>
      </c>
      <c r="D29">
        <v>0.14000000000000001</v>
      </c>
      <c r="E29">
        <f t="shared" si="2"/>
        <v>0.84000000000000008</v>
      </c>
      <c r="F29" s="1" t="s">
        <v>29</v>
      </c>
    </row>
    <row r="30" spans="1:7" x14ac:dyDescent="0.3">
      <c r="A30">
        <f t="shared" si="3"/>
        <v>7</v>
      </c>
      <c r="B30" t="s">
        <v>50</v>
      </c>
      <c r="C30">
        <v>3</v>
      </c>
      <c r="D30">
        <v>0.23</v>
      </c>
      <c r="E30">
        <f t="shared" si="2"/>
        <v>0.69000000000000006</v>
      </c>
      <c r="F30" s="1" t="s">
        <v>49</v>
      </c>
    </row>
    <row r="31" spans="1:7" x14ac:dyDescent="0.3">
      <c r="A31">
        <f t="shared" si="3"/>
        <v>8</v>
      </c>
      <c r="B31" t="s">
        <v>54</v>
      </c>
      <c r="C31">
        <v>3</v>
      </c>
      <c r="D31">
        <v>0.1</v>
      </c>
      <c r="E31">
        <f t="shared" si="2"/>
        <v>0.30000000000000004</v>
      </c>
      <c r="F31" s="1" t="s">
        <v>53</v>
      </c>
    </row>
    <row r="32" spans="1:7" x14ac:dyDescent="0.3">
      <c r="A32">
        <f t="shared" si="3"/>
        <v>9</v>
      </c>
      <c r="B32" t="s">
        <v>56</v>
      </c>
      <c r="C32">
        <v>6</v>
      </c>
      <c r="D32">
        <v>0.2</v>
      </c>
      <c r="E32">
        <f t="shared" si="2"/>
        <v>1.2000000000000002</v>
      </c>
      <c r="F32" s="1" t="s">
        <v>55</v>
      </c>
    </row>
    <row r="33" spans="1:6" x14ac:dyDescent="0.3">
      <c r="A33">
        <f t="shared" si="3"/>
        <v>10</v>
      </c>
      <c r="B33" t="s">
        <v>57</v>
      </c>
      <c r="C33">
        <v>3</v>
      </c>
      <c r="D33">
        <v>2.25</v>
      </c>
      <c r="E33">
        <f t="shared" si="2"/>
        <v>6.75</v>
      </c>
      <c r="F33" s="1" t="s">
        <v>59</v>
      </c>
    </row>
    <row r="34" spans="1:6" x14ac:dyDescent="0.3">
      <c r="A34">
        <f t="shared" si="3"/>
        <v>11</v>
      </c>
      <c r="B34" t="s">
        <v>58</v>
      </c>
      <c r="C34">
        <v>3</v>
      </c>
      <c r="D34">
        <v>0.1</v>
      </c>
      <c r="E34">
        <f t="shared" si="2"/>
        <v>0.30000000000000004</v>
      </c>
      <c r="F34" s="1" t="s">
        <v>60</v>
      </c>
    </row>
    <row r="35" spans="1:6" x14ac:dyDescent="0.3">
      <c r="A35">
        <f t="shared" si="3"/>
        <v>12</v>
      </c>
      <c r="B35" t="s">
        <v>34</v>
      </c>
      <c r="C35">
        <v>3</v>
      </c>
      <c r="D35">
        <v>0.1</v>
      </c>
      <c r="E35">
        <f t="shared" si="2"/>
        <v>0.30000000000000004</v>
      </c>
      <c r="F35" s="1" t="s">
        <v>61</v>
      </c>
    </row>
    <row r="37" spans="1:6" x14ac:dyDescent="0.3">
      <c r="D37" s="5" t="s">
        <v>87</v>
      </c>
      <c r="E37" s="5">
        <f>SUM(E24:E35)</f>
        <v>56.499999999999993</v>
      </c>
    </row>
    <row r="40" spans="1:6" x14ac:dyDescent="0.3">
      <c r="B40" s="6" t="s">
        <v>16</v>
      </c>
    </row>
    <row r="41" spans="1:6" x14ac:dyDescent="0.3">
      <c r="A41" s="7" t="s">
        <v>0</v>
      </c>
      <c r="B41" s="7" t="s">
        <v>18</v>
      </c>
      <c r="C41" s="7" t="s">
        <v>2</v>
      </c>
      <c r="D41" s="7" t="s">
        <v>4</v>
      </c>
      <c r="E41" s="7" t="s">
        <v>5</v>
      </c>
      <c r="F41" s="7" t="s">
        <v>3</v>
      </c>
    </row>
    <row r="42" spans="1:6" x14ac:dyDescent="0.3">
      <c r="A42">
        <v>1</v>
      </c>
      <c r="B42" t="s">
        <v>78</v>
      </c>
      <c r="C42">
        <v>2</v>
      </c>
      <c r="D42">
        <v>1.5</v>
      </c>
      <c r="E42">
        <f>C42*D42</f>
        <v>3</v>
      </c>
      <c r="F42" s="1" t="s">
        <v>77</v>
      </c>
    </row>
    <row r="43" spans="1:6" x14ac:dyDescent="0.3">
      <c r="A43">
        <f>A42+1</f>
        <v>2</v>
      </c>
      <c r="B43" t="s">
        <v>42</v>
      </c>
      <c r="C43">
        <v>1</v>
      </c>
      <c r="D43">
        <v>1.04</v>
      </c>
      <c r="E43">
        <f t="shared" ref="E43:E60" si="4">C43*D43</f>
        <v>1.04</v>
      </c>
      <c r="F43" s="1" t="s">
        <v>41</v>
      </c>
    </row>
    <row r="44" spans="1:6" x14ac:dyDescent="0.3">
      <c r="A44">
        <f t="shared" ref="A44:A60" si="5">A43+1</f>
        <v>3</v>
      </c>
      <c r="B44" t="s">
        <v>92</v>
      </c>
      <c r="C44">
        <v>2</v>
      </c>
      <c r="D44">
        <v>0.17</v>
      </c>
      <c r="E44">
        <f t="shared" si="4"/>
        <v>0.34</v>
      </c>
      <c r="F44" s="1" t="s">
        <v>91</v>
      </c>
    </row>
    <row r="45" spans="1:6" x14ac:dyDescent="0.3">
      <c r="A45">
        <f t="shared" si="5"/>
        <v>4</v>
      </c>
      <c r="B45" t="s">
        <v>80</v>
      </c>
      <c r="C45">
        <v>1</v>
      </c>
      <c r="D45">
        <v>0.56999999999999995</v>
      </c>
      <c r="E45">
        <f t="shared" si="4"/>
        <v>0.56999999999999995</v>
      </c>
      <c r="F45" s="1" t="s">
        <v>79</v>
      </c>
    </row>
    <row r="46" spans="1:6" x14ac:dyDescent="0.3">
      <c r="A46">
        <f t="shared" si="5"/>
        <v>5</v>
      </c>
      <c r="B46" t="s">
        <v>82</v>
      </c>
      <c r="C46">
        <v>1</v>
      </c>
      <c r="D46">
        <v>0.55000000000000004</v>
      </c>
      <c r="E46">
        <f t="shared" si="4"/>
        <v>0.55000000000000004</v>
      </c>
      <c r="F46" s="1" t="s">
        <v>81</v>
      </c>
    </row>
    <row r="47" spans="1:6" x14ac:dyDescent="0.3">
      <c r="A47">
        <f t="shared" si="5"/>
        <v>6</v>
      </c>
      <c r="B47" t="s">
        <v>11</v>
      </c>
      <c r="C47">
        <v>2</v>
      </c>
      <c r="D47" s="2">
        <v>0.92</v>
      </c>
      <c r="E47">
        <f t="shared" si="4"/>
        <v>1.84</v>
      </c>
      <c r="F47" s="1" t="s">
        <v>12</v>
      </c>
    </row>
    <row r="48" spans="1:6" x14ac:dyDescent="0.3">
      <c r="A48">
        <f t="shared" si="5"/>
        <v>7</v>
      </c>
      <c r="B48" t="s">
        <v>51</v>
      </c>
      <c r="C48">
        <v>4</v>
      </c>
      <c r="D48">
        <v>0.14000000000000001</v>
      </c>
      <c r="E48">
        <f t="shared" si="4"/>
        <v>0.56000000000000005</v>
      </c>
      <c r="F48" s="1" t="s">
        <v>29</v>
      </c>
    </row>
    <row r="49" spans="1:6" x14ac:dyDescent="0.3">
      <c r="A49">
        <f t="shared" si="5"/>
        <v>8</v>
      </c>
      <c r="B49" t="s">
        <v>48</v>
      </c>
      <c r="C49">
        <v>6</v>
      </c>
      <c r="D49">
        <v>0.54</v>
      </c>
      <c r="E49">
        <f t="shared" si="4"/>
        <v>3.24</v>
      </c>
      <c r="F49" s="1" t="s">
        <v>62</v>
      </c>
    </row>
    <row r="50" spans="1:6" x14ac:dyDescent="0.3">
      <c r="A50">
        <f t="shared" si="5"/>
        <v>9</v>
      </c>
      <c r="B50" t="s">
        <v>64</v>
      </c>
      <c r="C50">
        <v>2</v>
      </c>
      <c r="D50">
        <v>0.52</v>
      </c>
      <c r="E50">
        <f t="shared" si="4"/>
        <v>1.04</v>
      </c>
      <c r="F50" s="1" t="s">
        <v>63</v>
      </c>
    </row>
    <row r="51" spans="1:6" x14ac:dyDescent="0.3">
      <c r="A51">
        <f t="shared" si="5"/>
        <v>10</v>
      </c>
      <c r="B51" t="s">
        <v>30</v>
      </c>
      <c r="C51">
        <v>2</v>
      </c>
      <c r="D51">
        <v>0.26</v>
      </c>
      <c r="E51">
        <f t="shared" si="4"/>
        <v>0.52</v>
      </c>
      <c r="F51" s="1" t="s">
        <v>31</v>
      </c>
    </row>
    <row r="52" spans="1:6" x14ac:dyDescent="0.3">
      <c r="A52">
        <f t="shared" si="5"/>
        <v>11</v>
      </c>
      <c r="B52" t="s">
        <v>66</v>
      </c>
      <c r="C52">
        <v>2</v>
      </c>
      <c r="D52">
        <v>0.18</v>
      </c>
      <c r="E52">
        <f t="shared" si="4"/>
        <v>0.36</v>
      </c>
      <c r="F52" s="1" t="s">
        <v>65</v>
      </c>
    </row>
    <row r="53" spans="1:6" x14ac:dyDescent="0.3">
      <c r="A53">
        <f t="shared" si="5"/>
        <v>12</v>
      </c>
      <c r="B53" t="s">
        <v>86</v>
      </c>
      <c r="C53">
        <v>2</v>
      </c>
      <c r="D53">
        <v>0.47</v>
      </c>
      <c r="E53">
        <f t="shared" si="4"/>
        <v>0.94</v>
      </c>
      <c r="F53" s="1" t="s">
        <v>85</v>
      </c>
    </row>
    <row r="54" spans="1:6" x14ac:dyDescent="0.3">
      <c r="A54">
        <f t="shared" si="5"/>
        <v>13</v>
      </c>
      <c r="B54" t="s">
        <v>68</v>
      </c>
      <c r="C54">
        <v>2</v>
      </c>
      <c r="D54">
        <v>0.11</v>
      </c>
      <c r="E54">
        <f t="shared" si="4"/>
        <v>0.22</v>
      </c>
      <c r="F54" s="1" t="s">
        <v>67</v>
      </c>
    </row>
    <row r="55" spans="1:6" x14ac:dyDescent="0.3">
      <c r="A55">
        <f t="shared" si="5"/>
        <v>14</v>
      </c>
      <c r="B55" t="s">
        <v>70</v>
      </c>
      <c r="C55">
        <v>2</v>
      </c>
      <c r="D55">
        <v>0.11</v>
      </c>
      <c r="E55">
        <f t="shared" si="4"/>
        <v>0.22</v>
      </c>
      <c r="F55" s="1" t="s">
        <v>69</v>
      </c>
    </row>
    <row r="56" spans="1:6" x14ac:dyDescent="0.3">
      <c r="A56">
        <f t="shared" si="5"/>
        <v>15</v>
      </c>
      <c r="B56" t="s">
        <v>71</v>
      </c>
      <c r="C56">
        <v>2</v>
      </c>
      <c r="D56">
        <v>0.1</v>
      </c>
      <c r="E56">
        <f t="shared" si="4"/>
        <v>0.2</v>
      </c>
      <c r="F56" s="1" t="s">
        <v>72</v>
      </c>
    </row>
    <row r="57" spans="1:6" x14ac:dyDescent="0.3">
      <c r="A57">
        <f t="shared" si="5"/>
        <v>16</v>
      </c>
      <c r="B57" t="s">
        <v>74</v>
      </c>
      <c r="C57">
        <v>2</v>
      </c>
      <c r="D57">
        <v>0.1</v>
      </c>
      <c r="E57">
        <f t="shared" si="4"/>
        <v>0.2</v>
      </c>
      <c r="F57" s="1" t="s">
        <v>73</v>
      </c>
    </row>
    <row r="58" spans="1:6" x14ac:dyDescent="0.3">
      <c r="A58">
        <f t="shared" si="5"/>
        <v>17</v>
      </c>
      <c r="B58" t="s">
        <v>76</v>
      </c>
      <c r="C58">
        <v>2</v>
      </c>
      <c r="D58">
        <v>0.1</v>
      </c>
      <c r="E58">
        <f t="shared" si="4"/>
        <v>0.2</v>
      </c>
      <c r="F58" s="1" t="s">
        <v>75</v>
      </c>
    </row>
    <row r="59" spans="1:6" x14ac:dyDescent="0.3">
      <c r="A59">
        <f t="shared" si="5"/>
        <v>18</v>
      </c>
      <c r="B59" t="s">
        <v>34</v>
      </c>
      <c r="C59">
        <v>1</v>
      </c>
      <c r="D59">
        <v>0.1</v>
      </c>
      <c r="E59">
        <f t="shared" si="4"/>
        <v>0.1</v>
      </c>
      <c r="F59" s="1" t="s">
        <v>61</v>
      </c>
    </row>
    <row r="60" spans="1:6" x14ac:dyDescent="0.3">
      <c r="A60">
        <f t="shared" si="5"/>
        <v>19</v>
      </c>
      <c r="B60" t="s">
        <v>32</v>
      </c>
      <c r="C60">
        <v>1</v>
      </c>
      <c r="D60">
        <v>0.1</v>
      </c>
      <c r="E60">
        <f t="shared" si="4"/>
        <v>0.1</v>
      </c>
      <c r="F60" s="1" t="s">
        <v>33</v>
      </c>
    </row>
    <row r="62" spans="1:6" x14ac:dyDescent="0.3">
      <c r="D62" s="5" t="s">
        <v>87</v>
      </c>
      <c r="E62" s="5">
        <f>SUM(E42:E60)</f>
        <v>15.239999999999997</v>
      </c>
    </row>
    <row r="64" spans="1:6" x14ac:dyDescent="0.3">
      <c r="B64" s="6" t="s">
        <v>93</v>
      </c>
    </row>
    <row r="65" spans="1:6" x14ac:dyDescent="0.3">
      <c r="A65" s="7" t="s">
        <v>0</v>
      </c>
      <c r="B65" s="7" t="s">
        <v>18</v>
      </c>
      <c r="C65" s="7" t="s">
        <v>2</v>
      </c>
      <c r="D65" s="7" t="s">
        <v>4</v>
      </c>
      <c r="E65" s="7" t="s">
        <v>5</v>
      </c>
      <c r="F65" s="7" t="s">
        <v>3</v>
      </c>
    </row>
    <row r="66" spans="1:6" x14ac:dyDescent="0.3">
      <c r="A66">
        <v>1</v>
      </c>
      <c r="B66" t="s">
        <v>90</v>
      </c>
      <c r="C66">
        <v>1</v>
      </c>
      <c r="D66">
        <v>4.37</v>
      </c>
      <c r="E66">
        <f>C66*D66</f>
        <v>4.37</v>
      </c>
      <c r="F66" t="s">
        <v>13</v>
      </c>
    </row>
    <row r="67" spans="1:6" x14ac:dyDescent="0.3">
      <c r="A67">
        <f>A66+1</f>
        <v>2</v>
      </c>
      <c r="B67" t="s">
        <v>89</v>
      </c>
      <c r="C67">
        <v>1</v>
      </c>
      <c r="D67">
        <v>8.44</v>
      </c>
      <c r="E67">
        <f>C67*D67</f>
        <v>8.44</v>
      </c>
      <c r="F67" s="1" t="s">
        <v>88</v>
      </c>
    </row>
    <row r="69" spans="1:6" x14ac:dyDescent="0.3">
      <c r="D69" s="5" t="s">
        <v>87</v>
      </c>
      <c r="E69" s="5">
        <f>SUM(E66:E67)</f>
        <v>12.809999999999999</v>
      </c>
    </row>
    <row r="71" spans="1:6" x14ac:dyDescent="0.3">
      <c r="D71" s="5" t="s">
        <v>94</v>
      </c>
      <c r="E71" s="5">
        <f>E19+E37+E62+E69</f>
        <v>112.58999999999999</v>
      </c>
    </row>
  </sheetData>
  <hyperlinks>
    <hyperlink ref="F3" r:id="rId1"/>
    <hyperlink ref="F4" r:id="rId2" display="https://es.aliexpress.com/item/1005007460897865.html?spm=a2g0o.productlist.main.4.3fa85507sRvbg8&amp;aem_p4p_detail=202603271521052464294803219820000572873&amp;algo_pvid=cdcd1a6d-f976-4060-b3bb-55710f6ac72b&amp;algo_exp_id=cdcd1a6d-f976-4060-b3bb-55710f6ac72b-3&amp;pdp_ext_f=%7B%22order%22%3A%2234760%22%2C%22spu_best_type%22%3A%22price%22%2C%22eval%22%3A%221%22%2C%22fromPage%22%3A%22search%22%7D&amp;pdp_npi=6%40dis%21USD%210.99%210.77%21%21%210.99%210.77%21%4021015b7d17746500655427707ebfba%2112000040853255020%21sea%21PY%210%21ABX%211%210%21n_tag%3A-29910%3Bd%3A78b3009%3Bm03_new_user%3A-29895&amp;curPageLogUid=QL9FQO7aCmdz&amp;utparam-url=scene%3Asearch%7Cquery_from%3A%7Cx_object_id%3A1005007460897865%7C_p_origin_prod%3A&amp;search_p4p_id=202603271521052464294803219820000572873_1"/>
    <hyperlink ref="F5" r:id="rId3" display="https://es.aliexpress.com/item/1005009438498535.html?spm=a2g0o.productlist.main.1.284b582f582fm1&amp;algo_pvid=ac212364-9bf5-46fa-9bd2-1233278e7c36&amp;algo_exp_id=ac212364-9bf5-46fa-9bd2-1233278e7c36-0&amp;pdp_ext_f=%7B%22order%22%3A%221019%22%2C%22spu_best_type%22%3A%22price%22%2C%22eval%22%3A%221%22%2C%22fromPage%22%3A%22search%22%7D&amp;pdp_npi=6%40dis%21USD%211.02%210.99%21%21%217.00%216.79%21%40212a70c017746836407734439e3e1d%2112000049098613157%21sea%21PY%210%21ABX%211%210%21n_tag%3A-29910%3Bd%3A78b3009%3Bm03_new_user%3A-29895&amp;curPageLogUid=GkJJS2D465Ko&amp;utparam-url=scene%3Asearch%7Cquery_from%3A%7Cx_object_id%3A1005009438498535%7C_p_origin_prod%3A"/>
    <hyperlink ref="F25" r:id="rId4"/>
    <hyperlink ref="F6" r:id="rId5" display="https://es.aliexpress.com/item/1005011943648412.html?spm=a2g0o.productlist.main.1.6c59fDMrfDMrTS&amp;algo_pvid=36fc4f25-e0e5-4119-a004-d99721300602&amp;algo_exp_id=36fc4f25-e0e5-4119-a004-d99721300602-0&amp;pdp_ext_f=%7B%22order%22%3A%22-1%22%2C%22eval%22%3A%221%22%2C%22fromPage%22%3A%22search%22%7D&amp;pdp_npi=6%40dis%21USD%211.86%210.93%21%21%2112.80%216.40%21%402102f0c917746869817147639eb613%2112000057086321431%21sea%21PY%210%21ABX%211%210%21n_tag%3A-29910%3Bd%3A78b3009%3Bm03_new_user%3A-29895&amp;curPageLogUid=kW8MJiTtlRvl&amp;utparam-url=scene%3Asearch%7Cquery_from%3A%7Cx_object_id%3A1005011943648412%7C_p_origin_prod%3A"/>
    <hyperlink ref="F7" r:id="rId6"/>
    <hyperlink ref="F8" r:id="rId7"/>
    <hyperlink ref="F11" r:id="rId8"/>
    <hyperlink ref="F12" r:id="rId9"/>
    <hyperlink ref="F13" r:id="rId10"/>
    <hyperlink ref="F14" r:id="rId11"/>
    <hyperlink ref="F15" r:id="rId12"/>
    <hyperlink ref="F16" r:id="rId13"/>
    <hyperlink ref="F17" r:id="rId14"/>
    <hyperlink ref="F27" r:id="rId15"/>
    <hyperlink ref="F28" r:id="rId16"/>
    <hyperlink ref="F29" r:id="rId17"/>
    <hyperlink ref="F30" r:id="rId18"/>
    <hyperlink ref="F31" r:id="rId19"/>
    <hyperlink ref="F32" r:id="rId20"/>
    <hyperlink ref="F33" r:id="rId21"/>
    <hyperlink ref="F34" r:id="rId22"/>
    <hyperlink ref="F35" r:id="rId23"/>
    <hyperlink ref="F47" r:id="rId24"/>
    <hyperlink ref="F48" r:id="rId25"/>
    <hyperlink ref="F10" r:id="rId26"/>
    <hyperlink ref="F49" r:id="rId27"/>
    <hyperlink ref="F50" r:id="rId28"/>
    <hyperlink ref="F51" r:id="rId29"/>
    <hyperlink ref="F52" r:id="rId30"/>
    <hyperlink ref="F54" r:id="rId31"/>
    <hyperlink ref="F55" r:id="rId32"/>
    <hyperlink ref="F56" r:id="rId33"/>
    <hyperlink ref="F57" r:id="rId34"/>
    <hyperlink ref="F58" r:id="rId35"/>
    <hyperlink ref="F59" r:id="rId36"/>
    <hyperlink ref="F42" r:id="rId37"/>
    <hyperlink ref="F45" r:id="rId38"/>
    <hyperlink ref="F46" r:id="rId39"/>
    <hyperlink ref="F43" r:id="rId40"/>
    <hyperlink ref="F53" r:id="rId41"/>
    <hyperlink ref="F67" r:id="rId42"/>
    <hyperlink ref="F60" r:id="rId43"/>
    <hyperlink ref="F44" r:id="rId44"/>
    <hyperlink ref="F24" r:id="rId45"/>
  </hyperlinks>
  <pageMargins left="0.7" right="0.7" top="0.75" bottom="0.75" header="0.3" footer="0.3"/>
  <pageSetup paperSize="9" orientation="portrait" r:id="rId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2026-03-29T21:14:11Z</cp:lastPrinted>
  <dcterms:created xsi:type="dcterms:W3CDTF">2026-03-14T13:35:03Z</dcterms:created>
  <dcterms:modified xsi:type="dcterms:W3CDTF">2026-03-29T22:00:31Z</dcterms:modified>
</cp:coreProperties>
</file>